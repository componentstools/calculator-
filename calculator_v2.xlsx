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лькулято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<sst xmlns="http://schemas.openxmlformats.org/spreadsheetml/2006/main" count="171" uniqueCount="143">
  <si>
    <t xml:space="preserve">КАЛЬКУЛЯТОР ЦЕНЫ ИМПОРТА ИЗ ЕВРОПЫ</t>
  </si>
  <si>
    <t xml:space="preserve">1. ЗАКУПКА В ЕВРОПЕ</t>
  </si>
  <si>
    <t xml:space="preserve">Закупка товара (€)</t>
  </si>
  <si>
    <t xml:space="preserve">Цена у поставщика</t>
  </si>
  <si>
    <t xml:space="preserve">Доставка до 2 кг (€)</t>
  </si>
  <si>
    <t xml:space="preserve">35€ или 0 если &gt; 2кг</t>
  </si>
  <si>
    <t xml:space="preserve">Доставка по инвойсу (€)</t>
  </si>
  <si>
    <t xml:space="preserve">Если вес &gt; 2 кг</t>
  </si>
  <si>
    <t xml:space="preserve">2. СПОСОБ ПЕРЕВОДА В ЕВРОПУ</t>
  </si>
  <si>
    <t xml:space="preserve">Выбор: 1=Наличка, 2=Крипта</t>
  </si>
  <si>
    <t xml:space="preserve">1 или 2</t>
  </si>
  <si>
    <t xml:space="preserve">ВАРИАНТ 1: Наличка</t>
  </si>
  <si>
    <t xml:space="preserve">Курс EUR/RUB</t>
  </si>
  <si>
    <t xml:space="preserve">Текущий курс</t>
  </si>
  <si>
    <t xml:space="preserve">Комиссия ИП (%)</t>
  </si>
  <si>
    <t xml:space="preserve">10% обычно</t>
  </si>
  <si>
    <t xml:space="preserve">ВАРИАНТ 2: Крипта</t>
  </si>
  <si>
    <t xml:space="preserve">Курс EUR/USDT</t>
  </si>
  <si>
    <t xml:space="preserve">Текущий</t>
  </si>
  <si>
    <t xml:space="preserve">Курс USDT/RUB</t>
  </si>
  <si>
    <t xml:space="preserve">Комиссия (%)</t>
  </si>
  <si>
    <t xml:space="preserve">2%</t>
  </si>
  <si>
    <t xml:space="preserve">Комиссия агента (₽)</t>
  </si>
  <si>
    <t xml:space="preserve">Фикс</t>
  </si>
  <si>
    <t xml:space="preserve">3. ЛОГИСТИКА И ДОКУМЕНТЫ</t>
  </si>
  <si>
    <t xml:space="preserve">Доставка по России (₽)</t>
  </si>
  <si>
    <t xml:space="preserve">Последняя миля</t>
  </si>
  <si>
    <t xml:space="preserve">Стоимость покупки документов (%)</t>
  </si>
  <si>
    <t xml:space="preserve">10% от суммы</t>
  </si>
  <si>
    <t xml:space="preserve">Целевая офиц. прибыль (%)</t>
  </si>
  <si>
    <t xml:space="preserve">3% от выручки</t>
  </si>
  <si>
    <t xml:space="preserve">4. НАЛОГИ</t>
  </si>
  <si>
    <t xml:space="preserve">НДС (%)</t>
  </si>
  <si>
    <t xml:space="preserve">20%</t>
  </si>
  <si>
    <t xml:space="preserve">Налог на прибыль (%)</t>
  </si>
  <si>
    <t xml:space="preserve">5. ЖЕЛАЕМАЯ ПРИБЫЛЬ</t>
  </si>
  <si>
    <t xml:space="preserve">Желаемая РЕАЛЬНАЯ прибыль (₽)</t>
  </si>
  <si>
    <t xml:space="preserve">На руках</t>
  </si>
  <si>
    <t xml:space="preserve">6. КОНКУРЕНТЫ</t>
  </si>
  <si>
    <t xml:space="preserve">Цена конкурентов МИН (₽)</t>
  </si>
  <si>
    <t xml:space="preserve">Минимальная</t>
  </si>
  <si>
    <t xml:space="preserve">Цена конкурентов МАКС (₽)</t>
  </si>
  <si>
    <t xml:space="preserve">Максимальная</t>
  </si>
  <si>
    <t xml:space="preserve">ПРОМЕЖУТОЧНЫЕ РАСЧЕТЫ</t>
  </si>
  <si>
    <t xml:space="preserve">Доставка Европа итого (€)</t>
  </si>
  <si>
    <t xml:space="preserve">Нужно в Европе (€)</t>
  </si>
  <si>
    <t xml:space="preserve">Закупка+Доставка</t>
  </si>
  <si>
    <t xml:space="preserve">Комиссия перевода наличка (€)</t>
  </si>
  <si>
    <t xml:space="preserve">Итого с комиссией наличка (€)</t>
  </si>
  <si>
    <t xml:space="preserve">В рублях наличка (₽)</t>
  </si>
  <si>
    <t xml:space="preserve">Комиссия ИП наличка (₽)</t>
  </si>
  <si>
    <t xml:space="preserve">К выводу наличка (₽)</t>
  </si>
  <si>
    <t xml:space="preserve">С комиссией крипта (€)</t>
  </si>
  <si>
    <t xml:space="preserve">В USDT</t>
  </si>
  <si>
    <t xml:space="preserve">В RUB основной (₽)</t>
  </si>
  <si>
    <t xml:space="preserve">К выводу крипта (₽)</t>
  </si>
  <si>
    <t xml:space="preserve">Итого к выводу (₽)</t>
  </si>
  <si>
    <t xml:space="preserve">По способу</t>
  </si>
  <si>
    <t xml:space="preserve">Закупка в RUB (₽)</t>
  </si>
  <si>
    <t xml:space="preserve">Доставка Европа RUB (₽)</t>
  </si>
  <si>
    <t xml:space="preserve">Комиссия перевода (₽)</t>
  </si>
  <si>
    <t xml:space="preserve">Доставка РФ (₽)</t>
  </si>
  <si>
    <t xml:space="preserve">РАСЧЕТ ЦЕНЫ ПРОДАЖИ</t>
  </si>
  <si>
    <t xml:space="preserve">Прямые расходы (₽)</t>
  </si>
  <si>
    <t xml:space="preserve">Вывод+Доставка РФ</t>
  </si>
  <si>
    <t xml:space="preserve">Выручка БЕЗ НДС (₽)</t>
  </si>
  <si>
    <t xml:space="preserve">Расчетная база</t>
  </si>
  <si>
    <t xml:space="preserve">НДС (₽)</t>
  </si>
  <si>
    <t xml:space="preserve">ЦЕНА ПРОДАЖИ С НДС (₽)</t>
  </si>
  <si>
    <t xml:space="preserve">ДЛЯ КЛИЕНТА</t>
  </si>
  <si>
    <t xml:space="preserve">ПРОВЕРКА РАСЧЕТОВ</t>
  </si>
  <si>
    <t xml:space="preserve">Первый приход (₽)</t>
  </si>
  <si>
    <t xml:space="preserve">10% от закупки</t>
  </si>
  <si>
    <t xml:space="preserve">Стоимость 1-го прихода (₽)</t>
  </si>
  <si>
    <t xml:space="preserve">10% от документа</t>
  </si>
  <si>
    <t xml:space="preserve">Целевая офиц. прибыль (₽)</t>
  </si>
  <si>
    <t xml:space="preserve">Доп. приход (₽)</t>
  </si>
  <si>
    <t xml:space="preserve">Остаток</t>
  </si>
  <si>
    <t xml:space="preserve">Стоимость доп. прихода (₽)</t>
  </si>
  <si>
    <t xml:space="preserve">10%</t>
  </si>
  <si>
    <t xml:space="preserve">Итого стоимость документов (₽)</t>
  </si>
  <si>
    <t xml:space="preserve">Всего</t>
  </si>
  <si>
    <t xml:space="preserve">Налог на прибыль (₽)</t>
  </si>
  <si>
    <t xml:space="preserve">20% от офиц</t>
  </si>
  <si>
    <t xml:space="preserve">Проверка прибыли (₽)</t>
  </si>
  <si>
    <t xml:space="preserve">Должна = B29</t>
  </si>
  <si>
    <t xml:space="preserve">Отклонение (₽)</t>
  </si>
  <si>
    <t xml:space="preserve">Должно быть ≈0</t>
  </si>
  <si>
    <t xml:space="preserve">АНАЛИЗ КОНКУРЕНТОВ</t>
  </si>
  <si>
    <t xml:space="preserve">Средняя цена конкурентов (₽)</t>
  </si>
  <si>
    <t xml:space="preserve">Среднее</t>
  </si>
  <si>
    <t xml:space="preserve">Наша цена (₽)</t>
  </si>
  <si>
    <t xml:space="preserve">Рассчитанная</t>
  </si>
  <si>
    <t xml:space="preserve">Разница (₽)</t>
  </si>
  <si>
    <t xml:space="preserve">+дороже,-дешевле</t>
  </si>
  <si>
    <t xml:space="preserve">Разница (%)</t>
  </si>
  <si>
    <t xml:space="preserve">В процентах</t>
  </si>
  <si>
    <t xml:space="preserve">Позиция</t>
  </si>
  <si>
    <t xml:space="preserve">Статус</t>
  </si>
  <si>
    <t xml:space="preserve">Рекомендуемая цена (₽)</t>
  </si>
  <si>
    <t xml:space="preserve">Для конкуренции</t>
  </si>
  <si>
    <t xml:space="preserve">При конкурентной цене прибыль (₽)</t>
  </si>
  <si>
    <t xml:space="preserve">Фактическая</t>
  </si>
  <si>
    <t xml:space="preserve">СТРУКТУРА РАСХОДОВ</t>
  </si>
  <si>
    <t xml:space="preserve">Закупка (₽)</t>
  </si>
  <si>
    <t xml:space="preserve">Закупка (%)</t>
  </si>
  <si>
    <t xml:space="preserve">От выручки</t>
  </si>
  <si>
    <t xml:space="preserve">Доставка Европа (₽)</t>
  </si>
  <si>
    <t xml:space="preserve">Доставка Европа (%)</t>
  </si>
  <si>
    <t xml:space="preserve">Комиссия перевода (%)</t>
  </si>
  <si>
    <t xml:space="preserve">Доставка РФ (%)</t>
  </si>
  <si>
    <t xml:space="preserve">Покупка документов (₽)</t>
  </si>
  <si>
    <t xml:space="preserve">Покупка документов (%)</t>
  </si>
  <si>
    <t xml:space="preserve">ИТОГО расходы (₽)</t>
  </si>
  <si>
    <t xml:space="preserve">Все</t>
  </si>
  <si>
    <t xml:space="preserve">ИТОГО расходы (%)</t>
  </si>
  <si>
    <t xml:space="preserve">Прибыль (₽)</t>
  </si>
  <si>
    <t xml:space="preserve">Желаемая</t>
  </si>
  <si>
    <t xml:space="preserve">Прибыль (%)</t>
  </si>
  <si>
    <t xml:space="preserve">Рентабельность</t>
  </si>
  <si>
    <t xml:space="preserve">СЦЕНАРИИ ОПТИМИЗАЦИИ</t>
  </si>
  <si>
    <t xml:space="preserve">АЛЬТЕРНАТИВНЫЕ ВАРИАНТЫ (для сравнения):</t>
  </si>
  <si>
    <t xml:space="preserve">Альтернативная закупка (€)</t>
  </si>
  <si>
    <t xml:space="preserve">Если найти дешевле</t>
  </si>
  <si>
    <t xml:space="preserve">Альтернативная комиссия ИП (%)</t>
  </si>
  <si>
    <t xml:space="preserve">Если снизить</t>
  </si>
  <si>
    <t xml:space="preserve">Альтернативная доставка РФ (₽)</t>
  </si>
  <si>
    <t xml:space="preserve">Если оптимизировать</t>
  </si>
  <si>
    <t xml:space="preserve">Альтернативная покупка документов (%)</t>
  </si>
  <si>
    <t xml:space="preserve">АВТОМАТИЧЕСКИЕ СЦЕНАРИИ:</t>
  </si>
  <si>
    <t xml:space="preserve">1. Если снизить комиссию ИП до 8%</t>
  </si>
  <si>
    <t xml:space="preserve">Экономия</t>
  </si>
  <si>
    <t xml:space="preserve">Прибыль увеличится на</t>
  </si>
  <si>
    <t xml:space="preserve">+к прибыли</t>
  </si>
  <si>
    <t xml:space="preserve">2. Если закупка дешевле на 50€</t>
  </si>
  <si>
    <t xml:space="preserve">3. Если использовать крипту</t>
  </si>
  <si>
    <t xml:space="preserve">4. Если документы под 8%</t>
  </si>
  <si>
    <t xml:space="preserve">5. Если доставка РФ дешевле 30%</t>
  </si>
  <si>
    <t xml:space="preserve">6. Если офиц. прибыль 2% вместо 3%</t>
  </si>
  <si>
    <t xml:space="preserve">ИТОГО потенциал оптимизации</t>
  </si>
  <si>
    <t xml:space="preserve">Максимум</t>
  </si>
  <si>
    <t xml:space="preserve">Прибыль может быть до</t>
  </si>
  <si>
    <t xml:space="preserve">Оптимальная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</si>
</sst>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"/>
    <numFmt numFmtId="167" formatCode="0.0%"/>
    <numFmt numFmtId="168" formatCode="#,##0.0000"/>
    <numFmt numFmtId="169" formatCode="#,##0.00&quot; ₽&quot;"/>
    <numFmt numFmtId="170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i val="true"/>
      <sz val="1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4472C4"/>
      </patternFill>
    </fill>
    <fill>
      <patternFill patternType="solid">
        <fgColor rgb="FFDCE6F1"/>
        <bgColor rgb="FFE7E6E6"/>
      </patternFill>
    </fill>
    <fill>
      <patternFill patternType="solid">
        <fgColor rgb="FFE7E6E6"/>
        <bgColor rgb="FFDCE6F1"/>
      </patternFill>
    </fill>
    <fill>
      <patternFill patternType="solid">
        <fgColor rgb="FFB4C7E7"/>
        <bgColor rgb="FFCCCCFF"/>
      </patternFill>
    </fill>
    <fill>
      <patternFill patternType="solid">
        <fgColor rgb="FF4472C4"/>
        <bgColor rgb="FF366092"/>
      </patternFill>
    </fill>
    <fill>
      <patternFill patternType="solid">
        <fgColor rgb="FFFFF2CC"/>
        <bgColor rgb="FFE7E6E6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24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  <c r="C3" s="2"/>
    </row>
    <row r="4" customFormat="false" ht="15" hidden="false" customHeight="false" outlineLevel="0" collapsed="false">
      <c r="A4" s="3" t="s">
        <v>2</v>
      </c>
      <c r="B4" s="4" t="n">
        <v>0</v>
      </c>
      <c r="C4" s="5" t="s">
        <v>3</v>
      </c>
    </row>
    <row r="5" customFormat="false" ht="15" hidden="false" customHeight="false" outlineLevel="0" collapsed="false">
      <c r="A5" s="3" t="s">
        <v>4</v>
      </c>
      <c r="B5" s="4" t="n">
        <v>35</v>
      </c>
      <c r="C5" s="5" t="s">
        <v>5</v>
      </c>
    </row>
    <row r="6" customFormat="false" ht="15" hidden="false" customHeight="false" outlineLevel="0" collapsed="false">
      <c r="A6" s="3" t="s">
        <v>6</v>
      </c>
      <c r="B6" s="4" t="n">
        <v>0</v>
      </c>
      <c r="C6" s="5" t="s">
        <v>7</v>
      </c>
    </row>
    <row r="8" customFormat="false" ht="15" hidden="false" customHeight="false" outlineLevel="0" collapsed="false">
      <c r="A8" s="2" t="s">
        <v>8</v>
      </c>
      <c r="B8" s="2"/>
      <c r="C8" s="2"/>
    </row>
    <row r="9" customFormat="false" ht="15" hidden="false" customHeight="false" outlineLevel="0" collapsed="false">
      <c r="A9" s="3" t="s">
        <v>9</v>
      </c>
      <c r="B9" s="6" t="n">
        <v>1</v>
      </c>
      <c r="C9" s="5" t="s">
        <v>10</v>
      </c>
    </row>
    <row r="10" customFormat="false" ht="15" hidden="false" customHeight="false" outlineLevel="0" collapsed="false">
      <c r="A10" s="7" t="s">
        <v>11</v>
      </c>
      <c r="B10" s="7"/>
      <c r="C10" s="7"/>
    </row>
    <row r="11" customFormat="false" ht="15" hidden="false" customHeight="false" outlineLevel="0" collapsed="false">
      <c r="A11" s="3" t="s">
        <v>12</v>
      </c>
      <c r="B11" s="4" t="n">
        <v>105</v>
      </c>
      <c r="C11" s="5" t="s">
        <v>13</v>
      </c>
    </row>
    <row r="12" customFormat="false" ht="15" hidden="false" customHeight="false" outlineLevel="0" collapsed="false">
      <c r="A12" s="3" t="s">
        <v>14</v>
      </c>
      <c r="B12" s="8" t="n">
        <v>0.1</v>
      </c>
      <c r="C12" s="5" t="s">
        <v>15</v>
      </c>
    </row>
    <row r="13" customFormat="false" ht="15" hidden="false" customHeight="false" outlineLevel="0" collapsed="false">
      <c r="A13" s="7" t="s">
        <v>16</v>
      </c>
      <c r="B13" s="7"/>
      <c r="C13" s="7"/>
    </row>
    <row r="14" customFormat="false" ht="15" hidden="false" customHeight="false" outlineLevel="0" collapsed="false">
      <c r="A14" s="3" t="s">
        <v>17</v>
      </c>
      <c r="B14" s="9" t="n">
        <v>1.19</v>
      </c>
      <c r="C14" s="5" t="s">
        <v>18</v>
      </c>
    </row>
    <row r="15" customFormat="false" ht="15" hidden="false" customHeight="false" outlineLevel="0" collapsed="false">
      <c r="A15" s="3" t="s">
        <v>19</v>
      </c>
      <c r="B15" s="4" t="n">
        <v>83.43</v>
      </c>
      <c r="C15" s="5" t="s">
        <v>18</v>
      </c>
    </row>
    <row r="16" customFormat="false" ht="15" hidden="false" customHeight="false" outlineLevel="0" collapsed="false">
      <c r="A16" s="3" t="s">
        <v>20</v>
      </c>
      <c r="B16" s="8" t="n">
        <v>0.02</v>
      </c>
      <c r="C16" s="5" t="s">
        <v>21</v>
      </c>
    </row>
    <row r="17" customFormat="false" ht="15" hidden="false" customHeight="false" outlineLevel="0" collapsed="false">
      <c r="A17" s="3" t="s">
        <v>22</v>
      </c>
      <c r="B17" s="4" t="n">
        <v>19908.72</v>
      </c>
      <c r="C17" s="5" t="s">
        <v>23</v>
      </c>
    </row>
    <row r="19" customFormat="false" ht="15" hidden="false" customHeight="false" outlineLevel="0" collapsed="false">
      <c r="A19" s="2" t="s">
        <v>24</v>
      </c>
      <c r="B19" s="2"/>
      <c r="C19" s="2"/>
    </row>
    <row r="20" customFormat="false" ht="15" hidden="false" customHeight="false" outlineLevel="0" collapsed="false">
      <c r="A20" s="3" t="s">
        <v>25</v>
      </c>
      <c r="B20" s="4" t="n">
        <v>0</v>
      </c>
      <c r="C20" s="5" t="s">
        <v>26</v>
      </c>
    </row>
    <row r="21" customFormat="false" ht="15" hidden="false" customHeight="false" outlineLevel="0" collapsed="false">
      <c r="A21" s="3" t="s">
        <v>27</v>
      </c>
      <c r="B21" s="8" t="n">
        <v>0.1</v>
      </c>
      <c r="C21" s="5" t="s">
        <v>28</v>
      </c>
    </row>
    <row r="22" customFormat="false" ht="15" hidden="false" customHeight="false" outlineLevel="0" collapsed="false">
      <c r="A22" s="3" t="s">
        <v>29</v>
      </c>
      <c r="B22" s="8" t="n">
        <v>0.03</v>
      </c>
      <c r="C22" s="5" t="s">
        <v>30</v>
      </c>
    </row>
    <row r="24" customFormat="false" ht="15" hidden="false" customHeight="false" outlineLevel="0" collapsed="false">
      <c r="A24" s="2" t="s">
        <v>31</v>
      </c>
      <c r="B24" s="2"/>
      <c r="C24" s="2"/>
    </row>
    <row r="25" customFormat="false" ht="15" hidden="false" customHeight="false" outlineLevel="0" collapsed="false">
      <c r="A25" s="3" t="s">
        <v>32</v>
      </c>
      <c r="B25" s="8" t="n">
        <v>0.2</v>
      </c>
      <c r="C25" s="5" t="s">
        <v>33</v>
      </c>
    </row>
    <row r="26" customFormat="false" ht="15" hidden="false" customHeight="false" outlineLevel="0" collapsed="false">
      <c r="A26" s="3" t="s">
        <v>34</v>
      </c>
      <c r="B26" s="8" t="n">
        <v>0.2</v>
      </c>
      <c r="C26" s="5" t="s">
        <v>33</v>
      </c>
    </row>
    <row r="28" customFormat="false" ht="15" hidden="false" customHeight="false" outlineLevel="0" collapsed="false">
      <c r="A28" s="2" t="s">
        <v>35</v>
      </c>
      <c r="B28" s="2"/>
      <c r="C28" s="2"/>
    </row>
    <row r="29" customFormat="false" ht="15" hidden="false" customHeight="false" outlineLevel="0" collapsed="false">
      <c r="A29" s="3" t="s">
        <v>36</v>
      </c>
      <c r="B29" s="4" t="n">
        <v>0</v>
      </c>
      <c r="C29" s="5" t="s">
        <v>37</v>
      </c>
    </row>
    <row r="31" customFormat="false" ht="15" hidden="false" customHeight="false" outlineLevel="0" collapsed="false">
      <c r="A31" s="2" t="s">
        <v>38</v>
      </c>
      <c r="B31" s="2"/>
      <c r="C31" s="2"/>
    </row>
    <row r="32" customFormat="false" ht="15" hidden="false" customHeight="false" outlineLevel="0" collapsed="false">
      <c r="A32" s="3" t="s">
        <v>39</v>
      </c>
      <c r="B32" s="4" t="n">
        <v>0</v>
      </c>
      <c r="C32" s="5" t="s">
        <v>40</v>
      </c>
    </row>
    <row r="33" customFormat="false" ht="15" hidden="false" customHeight="false" outlineLevel="0" collapsed="false">
      <c r="A33" s="3" t="s">
        <v>41</v>
      </c>
      <c r="B33" s="4" t="n">
        <v>0</v>
      </c>
      <c r="C33" s="5" t="s">
        <v>42</v>
      </c>
    </row>
    <row r="35" customFormat="false" ht="15" hidden="false" customHeight="false" outlineLevel="0" collapsed="false">
      <c r="A35" s="10" t="s">
        <v>43</v>
      </c>
      <c r="B35" s="10"/>
      <c r="C35" s="10"/>
    </row>
    <row r="36" customFormat="false" ht="15" hidden="false" customHeight="false" outlineLevel="0" collapsed="false">
      <c r="A36" s="3" t="s">
        <v>44</v>
      </c>
      <c r="B36" s="11" t="n">
        <f aca="false">B5+B6</f>
        <v>35</v>
      </c>
      <c r="C36" s="5"/>
    </row>
    <row r="37" customFormat="false" ht="15" hidden="false" customHeight="false" outlineLevel="0" collapsed="false">
      <c r="A37" s="3" t="s">
        <v>45</v>
      </c>
      <c r="B37" s="11" t="n">
        <f aca="false">B4+B36</f>
        <v>35</v>
      </c>
      <c r="C37" s="5" t="s">
        <v>46</v>
      </c>
    </row>
    <row r="38" customFormat="false" ht="15" hidden="false" customHeight="false" outlineLevel="0" collapsed="false">
      <c r="A38" s="3" t="s">
        <v>47</v>
      </c>
      <c r="B38" s="11" t="n">
        <f aca="false">IF(B9=1,B37*B12,0)</f>
        <v>3.5</v>
      </c>
      <c r="C38" s="5"/>
    </row>
    <row r="39" customFormat="false" ht="15" hidden="false" customHeight="false" outlineLevel="0" collapsed="false">
      <c r="A39" s="3" t="s">
        <v>48</v>
      </c>
      <c r="B39" s="11" t="n">
        <f aca="false">B37+B38</f>
        <v>38.5</v>
      </c>
      <c r="C39" s="5"/>
    </row>
    <row r="40" customFormat="false" ht="15" hidden="false" customHeight="false" outlineLevel="0" collapsed="false">
      <c r="A40" s="3" t="s">
        <v>49</v>
      </c>
      <c r="B40" s="11" t="n">
        <f aca="false">B39*B11</f>
        <v>4042.5</v>
      </c>
      <c r="C40" s="5"/>
    </row>
    <row r="41" customFormat="false" ht="15" hidden="false" customHeight="false" outlineLevel="0" collapsed="false">
      <c r="A41" s="3" t="s">
        <v>50</v>
      </c>
      <c r="B41" s="11" t="n">
        <f aca="false">B40*B12</f>
        <v>404.25</v>
      </c>
      <c r="C41" s="5"/>
    </row>
    <row r="42" customFormat="false" ht="15" hidden="false" customHeight="false" outlineLevel="0" collapsed="false">
      <c r="A42" s="3" t="s">
        <v>51</v>
      </c>
      <c r="B42" s="11" t="n">
        <f aca="false">B40+B41</f>
        <v>4446.75</v>
      </c>
      <c r="C42" s="5"/>
    </row>
    <row r="43" customFormat="false" ht="15" hidden="false" customHeight="false" outlineLevel="0" collapsed="false">
      <c r="A43" s="3" t="s">
        <v>52</v>
      </c>
      <c r="B43" s="11" t="n">
        <f aca="false">IF(B9=2,B37*(1+B16),0)</f>
        <v>0</v>
      </c>
      <c r="C43" s="5"/>
    </row>
    <row r="44" customFormat="false" ht="15" hidden="false" customHeight="false" outlineLevel="0" collapsed="false">
      <c r="A44" s="3" t="s">
        <v>53</v>
      </c>
      <c r="B44" s="11" t="n">
        <f aca="false">B43*B14</f>
        <v>0</v>
      </c>
      <c r="C44" s="5"/>
    </row>
    <row r="45" customFormat="false" ht="15" hidden="false" customHeight="false" outlineLevel="0" collapsed="false">
      <c r="A45" s="3" t="s">
        <v>54</v>
      </c>
      <c r="B45" s="11" t="n">
        <f aca="false">B44*B15</f>
        <v>0</v>
      </c>
      <c r="C45" s="5"/>
    </row>
    <row r="46" customFormat="false" ht="15" hidden="false" customHeight="false" outlineLevel="0" collapsed="false">
      <c r="A46" s="3" t="s">
        <v>22</v>
      </c>
      <c r="B46" s="11" t="n">
        <f aca="false">IF(B9=2,B17,0)</f>
        <v>0</v>
      </c>
      <c r="C46" s="5"/>
    </row>
    <row r="47" customFormat="false" ht="15" hidden="false" customHeight="false" outlineLevel="0" collapsed="false">
      <c r="A47" s="3" t="s">
        <v>55</v>
      </c>
      <c r="B47" s="11" t="n">
        <f aca="false">B45+B46</f>
        <v>0</v>
      </c>
      <c r="C47" s="5"/>
    </row>
    <row r="48" customFormat="false" ht="15" hidden="false" customHeight="false" outlineLevel="0" collapsed="false">
      <c r="A48" s="3" t="s">
        <v>56</v>
      </c>
      <c r="B48" s="12" t="n">
        <f aca="false">IF(B9=1,B42,B47)</f>
        <v>4446.75</v>
      </c>
      <c r="C48" s="5" t="s">
        <v>57</v>
      </c>
    </row>
    <row r="49" customFormat="false" ht="15" hidden="false" customHeight="false" outlineLevel="0" collapsed="false">
      <c r="A49" s="3" t="s">
        <v>58</v>
      </c>
      <c r="B49" s="11" t="n">
        <f aca="false">B4*IF(B9=1,B11,B15)</f>
        <v>0</v>
      </c>
      <c r="C49" s="5"/>
    </row>
    <row r="50" customFormat="false" ht="15" hidden="false" customHeight="false" outlineLevel="0" collapsed="false">
      <c r="A50" s="3" t="s">
        <v>59</v>
      </c>
      <c r="B50" s="11" t="n">
        <f aca="false">B36*IF(B9=1,B11,B15)</f>
        <v>3675</v>
      </c>
      <c r="C50" s="5"/>
    </row>
    <row r="51" customFormat="false" ht="15" hidden="false" customHeight="false" outlineLevel="0" collapsed="false">
      <c r="A51" s="3" t="s">
        <v>60</v>
      </c>
      <c r="B51" s="11" t="n">
        <f aca="false">IF(B9=1,B41,B46)</f>
        <v>404.25</v>
      </c>
      <c r="C51" s="5"/>
    </row>
    <row r="52" customFormat="false" ht="15" hidden="false" customHeight="false" outlineLevel="0" collapsed="false">
      <c r="A52" s="3" t="s">
        <v>61</v>
      </c>
      <c r="B52" s="11" t="n">
        <f aca="false">B20</f>
        <v>0</v>
      </c>
      <c r="C52" s="5"/>
    </row>
    <row r="54" customFormat="false" ht="15" hidden="false" customHeight="false" outlineLevel="0" collapsed="false">
      <c r="A54" s="13" t="s">
        <v>62</v>
      </c>
      <c r="B54" s="13"/>
      <c r="C54" s="13"/>
    </row>
    <row r="55" customFormat="false" ht="15" hidden="false" customHeight="false" outlineLevel="0" collapsed="false">
      <c r="A55" s="3" t="s">
        <v>63</v>
      </c>
      <c r="B55" s="11" t="n">
        <f aca="false">B48+B52</f>
        <v>4446.75</v>
      </c>
      <c r="C55" s="5" t="s">
        <v>64</v>
      </c>
    </row>
    <row r="56" customFormat="false" ht="15" hidden="false" customHeight="false" outlineLevel="0" collapsed="false">
      <c r="A56" s="3" t="s">
        <v>65</v>
      </c>
      <c r="B56" s="12" t="n">
        <f aca="false">(B29+B55)/(1-B21*(1-B22)-B22*B26)</f>
        <v>4957.35785953177</v>
      </c>
      <c r="C56" s="5" t="s">
        <v>66</v>
      </c>
    </row>
    <row r="57" customFormat="false" ht="15" hidden="false" customHeight="false" outlineLevel="0" collapsed="false">
      <c r="A57" s="3" t="s">
        <v>67</v>
      </c>
      <c r="B57" s="11" t="n">
        <f aca="false">B56*B25</f>
        <v>991.471571906355</v>
      </c>
      <c r="C57" s="5" t="s">
        <v>33</v>
      </c>
    </row>
    <row r="58" customFormat="false" ht="15" hidden="false" customHeight="false" outlineLevel="0" collapsed="false">
      <c r="A58" s="3" t="s">
        <v>68</v>
      </c>
      <c r="B58" s="14" t="n">
        <f aca="false">B56+B57</f>
        <v>5948.82943143813</v>
      </c>
      <c r="C58" s="5" t="s">
        <v>69</v>
      </c>
    </row>
    <row r="60" customFormat="false" ht="15" hidden="false" customHeight="false" outlineLevel="0" collapsed="false">
      <c r="A60" s="15" t="s">
        <v>70</v>
      </c>
      <c r="B60" s="15"/>
      <c r="C60" s="15"/>
    </row>
    <row r="61" customFormat="false" ht="15" hidden="false" customHeight="false" outlineLevel="0" collapsed="false">
      <c r="A61" s="3" t="s">
        <v>71</v>
      </c>
      <c r="B61" s="11" t="n">
        <f aca="false">B49*0.1</f>
        <v>0</v>
      </c>
      <c r="C61" s="5" t="s">
        <v>72</v>
      </c>
    </row>
    <row r="62" customFormat="false" ht="15" hidden="false" customHeight="false" outlineLevel="0" collapsed="false">
      <c r="A62" s="3" t="s">
        <v>73</v>
      </c>
      <c r="B62" s="11" t="n">
        <f aca="false">B61*B21</f>
        <v>0</v>
      </c>
      <c r="C62" s="5" t="s">
        <v>74</v>
      </c>
    </row>
    <row r="63" customFormat="false" ht="15" hidden="false" customHeight="false" outlineLevel="0" collapsed="false">
      <c r="A63" s="3" t="s">
        <v>75</v>
      </c>
      <c r="B63" s="11" t="n">
        <f aca="false">B56*B22</f>
        <v>148.720735785953</v>
      </c>
      <c r="C63" s="5" t="s">
        <v>30</v>
      </c>
    </row>
    <row r="64" customFormat="false" ht="15" hidden="false" customHeight="false" outlineLevel="0" collapsed="false">
      <c r="A64" s="3" t="s">
        <v>76</v>
      </c>
      <c r="B64" s="11" t="n">
        <f aca="false">B56-B61-B63</f>
        <v>4808.63712374582</v>
      </c>
      <c r="C64" s="5" t="s">
        <v>77</v>
      </c>
    </row>
    <row r="65" customFormat="false" ht="15" hidden="false" customHeight="false" outlineLevel="0" collapsed="false">
      <c r="A65" s="3" t="s">
        <v>78</v>
      </c>
      <c r="B65" s="11" t="n">
        <f aca="false">B64*B21</f>
        <v>480.863712374582</v>
      </c>
      <c r="C65" s="5" t="s">
        <v>79</v>
      </c>
    </row>
    <row r="66" customFormat="false" ht="15" hidden="false" customHeight="false" outlineLevel="0" collapsed="false">
      <c r="A66" s="3" t="s">
        <v>80</v>
      </c>
      <c r="B66" s="12" t="n">
        <f aca="false">B62+B65</f>
        <v>480.863712374582</v>
      </c>
      <c r="C66" s="5" t="s">
        <v>81</v>
      </c>
    </row>
    <row r="67" customFormat="false" ht="15" hidden="false" customHeight="false" outlineLevel="0" collapsed="false">
      <c r="A67" s="3" t="s">
        <v>82</v>
      </c>
      <c r="B67" s="11" t="n">
        <f aca="false">B63*B26</f>
        <v>29.7441471571906</v>
      </c>
      <c r="C67" s="5" t="s">
        <v>83</v>
      </c>
    </row>
    <row r="68" customFormat="false" ht="15" hidden="false" customHeight="false" outlineLevel="0" collapsed="false">
      <c r="A68" s="3" t="s">
        <v>84</v>
      </c>
      <c r="B68" s="12" t="n">
        <f aca="false">B58-B57-B55-B66-B67</f>
        <v>-3.37507799486048E-013</v>
      </c>
      <c r="C68" s="5" t="s">
        <v>85</v>
      </c>
    </row>
    <row r="69" customFormat="false" ht="15" hidden="false" customHeight="false" outlineLevel="0" collapsed="false">
      <c r="A69" s="3" t="s">
        <v>86</v>
      </c>
      <c r="B69" s="11" t="n">
        <f aca="false">B68-B29</f>
        <v>-3.37507799486048E-013</v>
      </c>
      <c r="C69" s="5" t="s">
        <v>87</v>
      </c>
    </row>
    <row r="71" customFormat="false" ht="15" hidden="false" customHeight="false" outlineLevel="0" collapsed="false">
      <c r="A71" s="16" t="s">
        <v>88</v>
      </c>
      <c r="B71" s="16"/>
      <c r="C71" s="16"/>
    </row>
    <row r="72" customFormat="false" ht="15" hidden="false" customHeight="false" outlineLevel="0" collapsed="false">
      <c r="A72" s="3" t="s">
        <v>89</v>
      </c>
      <c r="B72" s="11" t="n">
        <f aca="false">IF(B32+B33=0,0,(B32+B33)/2)</f>
        <v>0</v>
      </c>
      <c r="C72" s="5" t="s">
        <v>90</v>
      </c>
    </row>
    <row r="73" customFormat="false" ht="15" hidden="false" customHeight="false" outlineLevel="0" collapsed="false">
      <c r="A73" s="3" t="s">
        <v>91</v>
      </c>
      <c r="B73" s="11" t="n">
        <f aca="false">B58</f>
        <v>5948.82943143813</v>
      </c>
      <c r="C73" s="5" t="s">
        <v>92</v>
      </c>
    </row>
    <row r="74" customFormat="false" ht="15" hidden="false" customHeight="false" outlineLevel="0" collapsed="false">
      <c r="A74" s="3" t="s">
        <v>93</v>
      </c>
      <c r="B74" s="11" t="n">
        <f aca="false">B73-B72</f>
        <v>5948.82943143813</v>
      </c>
      <c r="C74" s="5" t="s">
        <v>94</v>
      </c>
    </row>
    <row r="75" customFormat="false" ht="15" hidden="false" customHeight="false" outlineLevel="0" collapsed="false">
      <c r="A75" s="3" t="s">
        <v>95</v>
      </c>
      <c r="B75" s="17" t="n">
        <f aca="false">IF(B72=0,0,B74/B72)</f>
        <v>0</v>
      </c>
      <c r="C75" s="5" t="s">
        <v>96</v>
      </c>
    </row>
    <row r="76" customFormat="false" ht="15" hidden="false" customHeight="false" outlineLevel="0" collapsed="false">
      <c r="A76" s="3" t="s">
        <v>97</v>
      </c>
      <c r="B76" s="18" t="str">
        <f aca="false">IF(B72=0,"Не указано",IF(B74&gt;0,"❌ МЫ ДОРОЖЕ","✅ МЫ ДЕШЕВЛЕ"))</f>
        <v>Не указано</v>
      </c>
      <c r="C76" s="5" t="s">
        <v>98</v>
      </c>
    </row>
    <row r="77" customFormat="false" ht="15" hidden="false" customHeight="false" outlineLevel="0" collapsed="false">
      <c r="A77" s="3" t="s">
        <v>99</v>
      </c>
      <c r="B77" s="11" t="n">
        <f aca="false">IF(B74&gt;0,B72,B73)</f>
        <v>0</v>
      </c>
      <c r="C77" s="5" t="s">
        <v>100</v>
      </c>
    </row>
    <row r="78" customFormat="false" ht="15" hidden="false" customHeight="false" outlineLevel="0" collapsed="false">
      <c r="A78" s="3" t="s">
        <v>101</v>
      </c>
      <c r="B78" s="11" t="n">
        <f aca="false">IF(B74&gt;0,B29+B74,B29)</f>
        <v>5948.82943143813</v>
      </c>
      <c r="C78" s="5" t="s">
        <v>102</v>
      </c>
    </row>
    <row r="80" customFormat="false" ht="15" hidden="false" customHeight="false" outlineLevel="0" collapsed="false">
      <c r="A80" s="10" t="s">
        <v>103</v>
      </c>
      <c r="B80" s="10"/>
      <c r="C80" s="10"/>
    </row>
    <row r="81" customFormat="false" ht="15" hidden="false" customHeight="false" outlineLevel="0" collapsed="false">
      <c r="A81" s="3" t="s">
        <v>104</v>
      </c>
      <c r="B81" s="11" t="n">
        <f aca="false">B49</f>
        <v>0</v>
      </c>
      <c r="C81" s="5"/>
    </row>
    <row r="82" customFormat="false" ht="15" hidden="false" customHeight="false" outlineLevel="0" collapsed="false">
      <c r="A82" s="3" t="s">
        <v>105</v>
      </c>
      <c r="B82" s="19" t="n">
        <f aca="false">B81/B58</f>
        <v>0</v>
      </c>
      <c r="C82" s="5" t="s">
        <v>106</v>
      </c>
    </row>
    <row r="83" customFormat="false" ht="15" hidden="false" customHeight="false" outlineLevel="0" collapsed="false">
      <c r="A83" s="3" t="s">
        <v>107</v>
      </c>
      <c r="B83" s="11" t="n">
        <f aca="false">B50</f>
        <v>3675</v>
      </c>
      <c r="C83" s="5"/>
    </row>
    <row r="84" customFormat="false" ht="15" hidden="false" customHeight="false" outlineLevel="0" collapsed="false">
      <c r="A84" s="3" t="s">
        <v>108</v>
      </c>
      <c r="B84" s="19" t="n">
        <f aca="false">B83/B58</f>
        <v>0.617768595041322</v>
      </c>
      <c r="C84" s="5"/>
    </row>
    <row r="85" customFormat="false" ht="15" hidden="false" customHeight="false" outlineLevel="0" collapsed="false">
      <c r="A85" s="3" t="s">
        <v>60</v>
      </c>
      <c r="B85" s="11" t="n">
        <f aca="false">B51</f>
        <v>404.25</v>
      </c>
      <c r="C85" s="5"/>
    </row>
    <row r="86" customFormat="false" ht="15" hidden="false" customHeight="false" outlineLevel="0" collapsed="false">
      <c r="A86" s="3" t="s">
        <v>109</v>
      </c>
      <c r="B86" s="19" t="n">
        <f aca="false">B85/B58</f>
        <v>0.0679545454545455</v>
      </c>
      <c r="C86" s="5"/>
    </row>
    <row r="87" customFormat="false" ht="15" hidden="false" customHeight="false" outlineLevel="0" collapsed="false">
      <c r="A87" s="3" t="s">
        <v>61</v>
      </c>
      <c r="B87" s="11" t="n">
        <f aca="false">B52</f>
        <v>0</v>
      </c>
      <c r="C87" s="5"/>
    </row>
    <row r="88" customFormat="false" ht="15" hidden="false" customHeight="false" outlineLevel="0" collapsed="false">
      <c r="A88" s="3" t="s">
        <v>110</v>
      </c>
      <c r="B88" s="19" t="n">
        <f aca="false">B87/B58</f>
        <v>0</v>
      </c>
      <c r="C88" s="5"/>
    </row>
    <row r="89" customFormat="false" ht="15" hidden="false" customHeight="false" outlineLevel="0" collapsed="false">
      <c r="A89" s="3" t="s">
        <v>111</v>
      </c>
      <c r="B89" s="11" t="n">
        <f aca="false">B66</f>
        <v>480.863712374582</v>
      </c>
      <c r="C89" s="5"/>
    </row>
    <row r="90" customFormat="false" ht="15" hidden="false" customHeight="false" outlineLevel="0" collapsed="false">
      <c r="A90" s="3" t="s">
        <v>112</v>
      </c>
      <c r="B90" s="19" t="n">
        <f aca="false">B89/B58</f>
        <v>0.0808333333333333</v>
      </c>
      <c r="C90" s="5"/>
    </row>
    <row r="91" customFormat="false" ht="15" hidden="false" customHeight="false" outlineLevel="0" collapsed="false">
      <c r="A91" s="3" t="s">
        <v>67</v>
      </c>
      <c r="B91" s="11" t="n">
        <f aca="false">B57</f>
        <v>991.471571906355</v>
      </c>
      <c r="C91" s="5"/>
    </row>
    <row r="92" customFormat="false" ht="15" hidden="false" customHeight="false" outlineLevel="0" collapsed="false">
      <c r="A92" s="3" t="s">
        <v>32</v>
      </c>
      <c r="B92" s="19" t="n">
        <f aca="false">B91/B58</f>
        <v>0.166666666666667</v>
      </c>
      <c r="C92" s="5"/>
    </row>
    <row r="93" customFormat="false" ht="15" hidden="false" customHeight="false" outlineLevel="0" collapsed="false">
      <c r="A93" s="3" t="s">
        <v>82</v>
      </c>
      <c r="B93" s="11" t="n">
        <f aca="false">B67</f>
        <v>29.7441471571906</v>
      </c>
      <c r="C93" s="5"/>
    </row>
    <row r="94" customFormat="false" ht="15" hidden="false" customHeight="false" outlineLevel="0" collapsed="false">
      <c r="A94" s="3" t="s">
        <v>34</v>
      </c>
      <c r="B94" s="19" t="n">
        <f aca="false">B93/B58</f>
        <v>0.005</v>
      </c>
      <c r="C94" s="5"/>
    </row>
    <row r="95" customFormat="false" ht="15" hidden="false" customHeight="false" outlineLevel="0" collapsed="false">
      <c r="A95" s="3" t="s">
        <v>113</v>
      </c>
      <c r="B95" s="12" t="n">
        <f aca="false">B81+B83+B85+B87+B89+B91+B93</f>
        <v>5581.32943143813</v>
      </c>
      <c r="C95" s="5" t="s">
        <v>114</v>
      </c>
    </row>
    <row r="96" customFormat="false" ht="15" hidden="false" customHeight="false" outlineLevel="0" collapsed="false">
      <c r="A96" s="3" t="s">
        <v>115</v>
      </c>
      <c r="B96" s="17" t="n">
        <f aca="false">B95/B58</f>
        <v>0.938223140495868</v>
      </c>
      <c r="C96" s="5" t="s">
        <v>106</v>
      </c>
    </row>
    <row r="97" customFormat="false" ht="15" hidden="false" customHeight="false" outlineLevel="0" collapsed="false">
      <c r="A97" s="3" t="s">
        <v>116</v>
      </c>
      <c r="B97" s="12" t="n">
        <f aca="false">B29</f>
        <v>0</v>
      </c>
      <c r="C97" s="5" t="s">
        <v>117</v>
      </c>
    </row>
    <row r="98" customFormat="false" ht="15" hidden="false" customHeight="false" outlineLevel="0" collapsed="false">
      <c r="A98" s="3" t="s">
        <v>118</v>
      </c>
      <c r="B98" s="17" t="n">
        <f aca="false">B97/B58</f>
        <v>0</v>
      </c>
      <c r="C98" s="5" t="s">
        <v>119</v>
      </c>
    </row>
    <row r="100" customFormat="false" ht="15" hidden="false" customHeight="false" outlineLevel="0" collapsed="false">
      <c r="A100" s="13" t="s">
        <v>120</v>
      </c>
      <c r="B100" s="13"/>
      <c r="C100" s="13"/>
    </row>
    <row r="101" customFormat="false" ht="15" hidden="false" customHeight="false" outlineLevel="0" collapsed="false">
      <c r="A101" s="20" t="s">
        <v>121</v>
      </c>
      <c r="B101" s="20"/>
      <c r="C101" s="20"/>
    </row>
    <row r="102" customFormat="false" ht="15" hidden="false" customHeight="false" outlineLevel="0" collapsed="false">
      <c r="A102" s="3" t="s">
        <v>122</v>
      </c>
      <c r="B102" s="4" t="n">
        <v>0</v>
      </c>
      <c r="C102" s="5" t="s">
        <v>123</v>
      </c>
    </row>
    <row r="103" customFormat="false" ht="15" hidden="false" customHeight="false" outlineLevel="0" collapsed="false">
      <c r="A103" s="3" t="s">
        <v>124</v>
      </c>
      <c r="B103" s="8" t="n">
        <v>0</v>
      </c>
      <c r="C103" s="5" t="s">
        <v>125</v>
      </c>
    </row>
    <row r="104" customFormat="false" ht="15" hidden="false" customHeight="false" outlineLevel="0" collapsed="false">
      <c r="A104" s="3" t="s">
        <v>126</v>
      </c>
      <c r="B104" s="4" t="n">
        <v>0</v>
      </c>
      <c r="C104" s="5" t="s">
        <v>127</v>
      </c>
    </row>
    <row r="105" customFormat="false" ht="15" hidden="false" customHeight="false" outlineLevel="0" collapsed="false">
      <c r="A105" s="3" t="s">
        <v>128</v>
      </c>
      <c r="B105" s="8" t="n">
        <v>0</v>
      </c>
      <c r="C105" s="5" t="s">
        <v>123</v>
      </c>
    </row>
    <row r="107" customFormat="false" ht="15" hidden="false" customHeight="false" outlineLevel="0" collapsed="false">
      <c r="A107" s="21" t="s">
        <v>129</v>
      </c>
      <c r="B107" s="21"/>
      <c r="C107" s="21"/>
    </row>
    <row r="108" customFormat="false" ht="15" hidden="false" customHeight="false" outlineLevel="0" collapsed="false">
      <c r="A108" s="3" t="s">
        <v>130</v>
      </c>
      <c r="B108" s="22" t="n">
        <f aca="false">IF(B9=1,(B12-0.08)*B40,0)</f>
        <v>80.85</v>
      </c>
      <c r="C108" s="5" t="s">
        <v>131</v>
      </c>
    </row>
    <row r="109" customFormat="false" ht="15" hidden="false" customHeight="false" outlineLevel="0" collapsed="false">
      <c r="A109" s="3" t="s">
        <v>132</v>
      </c>
      <c r="B109" s="22" t="n">
        <f aca="false">B108</f>
        <v>80.85</v>
      </c>
      <c r="C109" s="5" t="s">
        <v>133</v>
      </c>
    </row>
    <row r="110" customFormat="false" ht="15" hidden="false" customHeight="false" outlineLevel="0" collapsed="false">
      <c r="A110" s="3" t="s">
        <v>134</v>
      </c>
      <c r="B110" s="22" t="n">
        <f aca="false">50*IF(B9=1,B11,B15)*(1+IF(B9=1,B12,B16)+B21)</f>
        <v>6300</v>
      </c>
      <c r="C110" s="5" t="s">
        <v>131</v>
      </c>
    </row>
    <row r="111" customFormat="false" ht="15" hidden="false" customHeight="false" outlineLevel="0" collapsed="false">
      <c r="A111" s="3" t="s">
        <v>132</v>
      </c>
      <c r="B111" s="22" t="n">
        <f aca="false">B110</f>
        <v>6300</v>
      </c>
      <c r="C111" s="5" t="s">
        <v>133</v>
      </c>
    </row>
    <row r="112" customFormat="false" ht="15" hidden="false" customHeight="false" outlineLevel="0" collapsed="false">
      <c r="A112" s="3" t="s">
        <v>135</v>
      </c>
      <c r="B112" s="22" t="n">
        <f aca="false">IF(B9=1,IF(B37&gt;=10000/IF(B9=1,B11,B15),B42-B47,0),0)</f>
        <v>0</v>
      </c>
      <c r="C112" s="5" t="s">
        <v>131</v>
      </c>
    </row>
    <row r="113" customFormat="false" ht="15" hidden="false" customHeight="false" outlineLevel="0" collapsed="false">
      <c r="A113" s="3" t="s">
        <v>132</v>
      </c>
      <c r="B113" s="22" t="n">
        <f aca="false">B112</f>
        <v>0</v>
      </c>
      <c r="C113" s="5" t="s">
        <v>133</v>
      </c>
    </row>
    <row r="114" customFormat="false" ht="15" hidden="false" customHeight="false" outlineLevel="0" collapsed="false">
      <c r="A114" s="3" t="s">
        <v>136</v>
      </c>
      <c r="B114" s="22" t="n">
        <f aca="false">(B21-0.08)*B56*(1-B22)</f>
        <v>96.1727424749164</v>
      </c>
      <c r="C114" s="5" t="s">
        <v>131</v>
      </c>
    </row>
    <row r="115" customFormat="false" ht="15" hidden="false" customHeight="false" outlineLevel="0" collapsed="false">
      <c r="A115" s="3" t="s">
        <v>132</v>
      </c>
      <c r="B115" s="22" t="n">
        <f aca="false">B114</f>
        <v>96.1727424749164</v>
      </c>
      <c r="C115" s="5" t="s">
        <v>133</v>
      </c>
    </row>
    <row r="116" customFormat="false" ht="15" hidden="false" customHeight="false" outlineLevel="0" collapsed="false">
      <c r="A116" s="3" t="s">
        <v>137</v>
      </c>
      <c r="B116" s="22" t="n">
        <f aca="false">B52*0.3</f>
        <v>0</v>
      </c>
      <c r="C116" s="5" t="s">
        <v>131</v>
      </c>
    </row>
    <row r="117" customFormat="false" ht="15" hidden="false" customHeight="false" outlineLevel="0" collapsed="false">
      <c r="A117" s="3" t="s">
        <v>132</v>
      </c>
      <c r="B117" s="22" t="n">
        <f aca="false">B116</f>
        <v>0</v>
      </c>
      <c r="C117" s="5" t="s">
        <v>133</v>
      </c>
    </row>
    <row r="118" customFormat="false" ht="15" hidden="false" customHeight="false" outlineLevel="0" collapsed="false">
      <c r="A118" s="3" t="s">
        <v>138</v>
      </c>
      <c r="B118" s="22" t="n">
        <f aca="false">(B22-0.02)*B56*B21</f>
        <v>4.95735785953177</v>
      </c>
      <c r="C118" s="5" t="s">
        <v>131</v>
      </c>
    </row>
    <row r="119" customFormat="false" ht="15" hidden="false" customHeight="false" outlineLevel="0" collapsed="false">
      <c r="A119" s="3" t="s">
        <v>132</v>
      </c>
      <c r="B119" s="22" t="n">
        <f aca="false">B118</f>
        <v>4.95735785953177</v>
      </c>
      <c r="C119" s="5" t="s">
        <v>133</v>
      </c>
    </row>
    <row r="120" customFormat="false" ht="15" hidden="false" customHeight="false" outlineLevel="0" collapsed="false">
      <c r="A120" s="3" t="s">
        <v>139</v>
      </c>
      <c r="B120" s="23" t="n">
        <f aca="false">B108+B110+B112+B114+B116+B118</f>
        <v>6481.98010033445</v>
      </c>
      <c r="C120" s="5" t="s">
        <v>140</v>
      </c>
    </row>
    <row r="121" customFormat="false" ht="15" hidden="false" customHeight="false" outlineLevel="0" collapsed="false">
      <c r="A121" s="3" t="s">
        <v>141</v>
      </c>
      <c r="B121" s="14" t="n">
        <f aca="false">B29+B120</f>
        <v>6481.98010033445</v>
      </c>
      <c r="C121" s="5" t="s">
        <v>142</v>
      </c>
    </row>
  </sheetData>
  <mergeCells count="17">
    <mergeCell ref="A1:C1"/>
    <mergeCell ref="A3:C3"/>
    <mergeCell ref="A8:C8"/>
    <mergeCell ref="A10:C10"/>
    <mergeCell ref="A13:C13"/>
    <mergeCell ref="A19:C19"/>
    <mergeCell ref="A24:C24"/>
    <mergeCell ref="A28:C28"/>
    <mergeCell ref="A31:C31"/>
    <mergeCell ref="A35:C35"/>
    <mergeCell ref="A54:C54"/>
    <mergeCell ref="A60:C60"/>
    <mergeCell ref="A71:C71"/>
    <mergeCell ref="A80:C80"/>
    <mergeCell ref="A100:C100"/>
    <mergeCell ref="A101:C101"/>
    <mergeCell ref="A107:C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2025-11-02T21:00:04Z</dcterms:created>
  <dc:creator>openpyxl</dc:creator>
  <dc:description/>
  <dc:language>en-US</dc:language>
  <cp:lastModifiedBy/>
  <dcterms:modified xsi:type="dcterms:W3CDTF">2025-11-02T21:00:04Z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